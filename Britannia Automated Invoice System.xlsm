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a2f0bba363fff8/Desktop/"/>
    </mc:Choice>
  </mc:AlternateContent>
  <xr:revisionPtr revIDLastSave="354" documentId="14_{1C60AD4D-6803-4658-A7E2-4FBBDA11F42A}" xr6:coauthVersionLast="47" xr6:coauthVersionMax="47" xr10:uidLastSave="{23C181E7-0C4F-4E95-AA1E-B52DD51C82AB}"/>
  <bookViews>
    <workbookView xWindow="-108" yWindow="-108" windowWidth="23256" windowHeight="12456" xr2:uid="{881433A4-D3A1-4ED5-A805-A9E5D0C339CE}"/>
  </bookViews>
  <sheets>
    <sheet name="Invoice Template" sheetId="1" r:id="rId1"/>
    <sheet name="Customers" sheetId="2" r:id="rId2"/>
    <sheet name="Record of Invoices" sheetId="3" r:id="rId3"/>
  </sheets>
  <definedNames>
    <definedName name="Customer_Name">Customer_List[Customer Name]</definedName>
    <definedName name="_xlnm.Print_Area" localSheetId="0">'Invoice Template'!$A$1:$I$43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  <c r="B10" i="1"/>
  <c r="C5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I17" i="1"/>
  <c r="H17" i="1"/>
  <c r="I35" i="1" l="1"/>
  <c r="I34" i="1"/>
  <c r="I36" i="1" l="1"/>
</calcChain>
</file>

<file path=xl/sharedStrings.xml><?xml version="1.0" encoding="utf-8"?>
<sst xmlns="http://schemas.openxmlformats.org/spreadsheetml/2006/main" count="79" uniqueCount="55">
  <si>
    <t>INVOICE</t>
  </si>
  <si>
    <t>Invoice No.</t>
  </si>
  <si>
    <t>PO No.</t>
  </si>
  <si>
    <t>Date</t>
  </si>
  <si>
    <t>Terms(Days)</t>
  </si>
  <si>
    <t>Invoice To.</t>
  </si>
  <si>
    <t>Description</t>
  </si>
  <si>
    <t>Qty</t>
  </si>
  <si>
    <t>Price</t>
  </si>
  <si>
    <t>VAT</t>
  </si>
  <si>
    <t>Total</t>
  </si>
  <si>
    <t>Customer Message</t>
  </si>
  <si>
    <t>Total(excld.vat)</t>
  </si>
  <si>
    <t>Sub Total</t>
  </si>
  <si>
    <t>Company Details</t>
  </si>
  <si>
    <t>Payment Details</t>
  </si>
  <si>
    <t>Company.no.</t>
  </si>
  <si>
    <t>VAT no.</t>
  </si>
  <si>
    <t>Tel. no</t>
  </si>
  <si>
    <t>Email</t>
  </si>
  <si>
    <t>Acc. No</t>
  </si>
  <si>
    <t>Bank</t>
  </si>
  <si>
    <t>Swift code</t>
  </si>
  <si>
    <t>Other</t>
  </si>
  <si>
    <t>BRITANNIA COMPANY</t>
  </si>
  <si>
    <t>Customer Name</t>
  </si>
  <si>
    <t>Address 1</t>
  </si>
  <si>
    <t>Address 2</t>
  </si>
  <si>
    <t>Address 3</t>
  </si>
  <si>
    <t>Address 4</t>
  </si>
  <si>
    <t>rudressmg2002@gmail.com</t>
  </si>
  <si>
    <t>suhasbdvt@gmail.com</t>
  </si>
  <si>
    <t>Add1</t>
  </si>
  <si>
    <t>Add2</t>
  </si>
  <si>
    <t>Add3</t>
  </si>
  <si>
    <t>Add4</t>
  </si>
  <si>
    <t>Invoice Number</t>
  </si>
  <si>
    <t>Company</t>
  </si>
  <si>
    <t>Amount</t>
  </si>
  <si>
    <t>Dtae Issue</t>
  </si>
  <si>
    <t>Due Date</t>
  </si>
  <si>
    <t>Paid</t>
  </si>
  <si>
    <t>Raj Hotel</t>
  </si>
  <si>
    <t>Suhas Condiments</t>
  </si>
  <si>
    <t>Cliff Ambessy</t>
  </si>
  <si>
    <t>Bakers Bowl</t>
  </si>
  <si>
    <t>Cake Café</t>
  </si>
  <si>
    <t>GRB Bakery</t>
  </si>
  <si>
    <t>cakecafe@gmail.com</t>
  </si>
  <si>
    <t>cliffamb@gmail.com</t>
  </si>
  <si>
    <t>bakersbowl@gmail.com</t>
  </si>
  <si>
    <t>grbbakery@gmail.com</t>
  </si>
  <si>
    <t>Customer ID</t>
  </si>
  <si>
    <t>PO1001</t>
  </si>
  <si>
    <t>Cookies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</si>
</sst>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#,##0.00_);\(&quot;₹&quot;#,##0.00\)"/>
    <numFmt numFmtId="165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Algerian"/>
      <family val="5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hair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ashed">
        <color auto="1"/>
      </right>
      <top style="hair">
        <color auto="1"/>
      </top>
      <bottom style="hair">
        <color auto="1"/>
      </bottom>
      <diagonal/>
    </border>
    <border>
      <left style="dashed">
        <color auto="1"/>
      </left>
      <right style="dashed">
        <color auto="1"/>
      </right>
      <top style="hair">
        <color auto="1"/>
      </top>
      <bottom style="hair">
        <color auto="1"/>
      </bottom>
      <diagonal/>
    </border>
    <border>
      <left style="dash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ashed">
        <color auto="1"/>
      </right>
      <top style="hair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1" xfId="0" applyFont="1" applyFill="1" applyBorder="1"/>
    <xf numFmtId="0" fontId="1" fillId="2" borderId="3" xfId="0" applyFont="1" applyFill="1" applyBorder="1"/>
    <xf numFmtId="0" fontId="1" fillId="2" borderId="5" xfId="0" applyFont="1" applyFill="1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1" fillId="2" borderId="17" xfId="0" applyFont="1" applyFill="1" applyBorder="1"/>
    <xf numFmtId="0" fontId="1" fillId="2" borderId="19" xfId="0" applyFont="1" applyFill="1" applyBorder="1"/>
    <xf numFmtId="0" fontId="0" fillId="0" borderId="20" xfId="0" applyBorder="1"/>
    <xf numFmtId="0" fontId="1" fillId="2" borderId="20" xfId="0" applyFont="1" applyFill="1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0" borderId="25" xfId="0" applyBorder="1"/>
    <xf numFmtId="0" fontId="2" fillId="0" borderId="0" xfId="0" applyFont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1" fillId="0" borderId="20" xfId="0" applyFont="1" applyBorder="1"/>
    <xf numFmtId="0" fontId="0" fillId="3" borderId="0" xfId="0" applyFill="1"/>
    <xf numFmtId="165" fontId="0" fillId="0" borderId="0" xfId="0" applyNumberFormat="1"/>
    <xf numFmtId="165" fontId="0" fillId="0" borderId="34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165" fontId="0" fillId="0" borderId="25" xfId="0" applyNumberFormat="1" applyBorder="1"/>
    <xf numFmtId="0" fontId="1" fillId="2" borderId="35" xfId="0" applyFont="1" applyFill="1" applyBorder="1"/>
    <xf numFmtId="0" fontId="3" fillId="0" borderId="0" xfId="0" applyFont="1"/>
    <xf numFmtId="0" fontId="5" fillId="0" borderId="0" xfId="1"/>
    <xf numFmtId="0" fontId="0" fillId="0" borderId="1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164" fontId="0" fillId="0" borderId="0" xfId="0" applyNumberFormat="1"/>
    <xf numFmtId="14" fontId="0" fillId="0" borderId="0" xfId="0" applyNumberFormat="1"/>
    <xf numFmtId="0" fontId="6" fillId="0" borderId="36" xfId="0" applyFont="1" applyBorder="1"/>
    <xf numFmtId="0" fontId="7" fillId="0" borderId="36" xfId="0" applyFont="1" applyBorder="1"/>
    <xf numFmtId="0" fontId="0" fillId="0" borderId="36" xfId="0" applyBorder="1"/>
    <xf numFmtId="0" fontId="0" fillId="0" borderId="6" xfId="0" applyBorder="1"/>
    <xf numFmtId="0" fontId="0" fillId="0" borderId="8" xfId="0" applyBorder="1"/>
    <xf numFmtId="0" fontId="0" fillId="0" borderId="4" xfId="0" applyBorder="1"/>
    <xf numFmtId="0" fontId="0" fillId="0" borderId="9" xfId="0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36" xfId="0" applyFont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left"/>
    </xf>
    <xf numFmtId="14" fontId="0" fillId="0" borderId="8" xfId="0" applyNumberFormat="1" applyBorder="1" applyAlignment="1">
      <alignment horizontal="left"/>
    </xf>
    <xf numFmtId="0" fontId="0" fillId="0" borderId="4" xfId="0" applyBorder="1" applyAlignment="1">
      <alignment horizontal="left"/>
    </xf>
  </cellXfs>
  <cellStyles count="2">
    <cellStyle name="Hyperlink" xfId="1" builtinId="8"/>
    <cellStyle name="Normal" xfId="0" builtinId="0"/>
  </cellStyles>
  <dxfs count="1"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1</xdr:row>
      <xdr:rowOff>91441</xdr:rowOff>
    </xdr:from>
    <xdr:to>
      <xdr:col>8</xdr:col>
      <xdr:colOff>682443</xdr:colOff>
      <xdr:row>6</xdr:row>
      <xdr:rowOff>60960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54D5C36-2B39-7158-1BCF-C8F2C4BB8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8240" y="388621"/>
          <a:ext cx="1680663" cy="891539"/>
        </a:xfrm>
        <a:prstGeom prst="rect">
          <a:avLst/>
        </a:prstGeom>
      </xdr:spPr>
    </xdr:pic>
    <xdr:clientData/>
  </xdr:twoCellAnchor>
  <xdr:twoCellAnchor>
    <xdr:from>
      <xdr:col>10</xdr:col>
      <xdr:colOff>556260</xdr:colOff>
      <xdr:row>4</xdr:row>
      <xdr:rowOff>165735</xdr:rowOff>
    </xdr:from>
    <xdr:to>
      <xdr:col>13</xdr:col>
      <xdr:colOff>76200</xdr:colOff>
      <xdr:row>7</xdr:row>
      <xdr:rowOff>13335</xdr:rowOff>
    </xdr:to>
    <xdr:sp macro="[0]!RecordOf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28CBF93-AE7A-550B-E7EA-38C61BEBECC3}"/>
            </a:ext>
          </a:extLst>
        </xdr:cNvPr>
        <xdr:cNvSpPr/>
      </xdr:nvSpPr>
      <xdr:spPr>
        <a:xfrm>
          <a:off x="7749540" y="1019175"/>
          <a:ext cx="1348740" cy="396240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Record Of Invoice</a:t>
          </a:r>
        </a:p>
      </xdr:txBody>
    </xdr:sp>
    <xdr:clientData/>
  </xdr:twoCellAnchor>
  <xdr:twoCellAnchor>
    <xdr:from>
      <xdr:col>10</xdr:col>
      <xdr:colOff>556260</xdr:colOff>
      <xdr:row>8</xdr:row>
      <xdr:rowOff>11430</xdr:rowOff>
    </xdr:from>
    <xdr:to>
      <xdr:col>13</xdr:col>
      <xdr:colOff>76200</xdr:colOff>
      <xdr:row>10</xdr:row>
      <xdr:rowOff>41910</xdr:rowOff>
    </xdr:to>
    <xdr:sp macro="[0]!SaveAsExcel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22F927E-E66E-4EA1-A307-B11ABD3A64A6}"/>
            </a:ext>
          </a:extLst>
        </xdr:cNvPr>
        <xdr:cNvSpPr/>
      </xdr:nvSpPr>
      <xdr:spPr>
        <a:xfrm>
          <a:off x="8100060" y="1596390"/>
          <a:ext cx="1348740" cy="396240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chemeClr val="tx1"/>
              </a:solidFill>
            </a:rPr>
            <a:t>Save</a:t>
          </a:r>
          <a:r>
            <a:rPr lang="en-IN" sz="1100" b="1" baseline="0">
              <a:solidFill>
                <a:schemeClr val="tx1"/>
              </a:solidFill>
            </a:rPr>
            <a:t> as Excel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556260</xdr:colOff>
      <xdr:row>11</xdr:row>
      <xdr:rowOff>40005</xdr:rowOff>
    </xdr:from>
    <xdr:to>
      <xdr:col>13</xdr:col>
      <xdr:colOff>76200</xdr:colOff>
      <xdr:row>13</xdr:row>
      <xdr:rowOff>70485</xdr:rowOff>
    </xdr:to>
    <xdr:sp macro="[0]!SaveAs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0C1F00E-B8EE-4D74-8FE6-8745EFA45846}"/>
            </a:ext>
          </a:extLst>
        </xdr:cNvPr>
        <xdr:cNvSpPr/>
      </xdr:nvSpPr>
      <xdr:spPr>
        <a:xfrm>
          <a:off x="8100060" y="2173605"/>
          <a:ext cx="1348740" cy="396240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chemeClr val="tx1"/>
              </a:solidFill>
            </a:rPr>
            <a:t>Save</a:t>
          </a:r>
          <a:r>
            <a:rPr lang="en-IN" sz="1100" b="1" baseline="0">
              <a:solidFill>
                <a:schemeClr val="tx1"/>
              </a:solidFill>
            </a:rPr>
            <a:t> as PDF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556260</xdr:colOff>
      <xdr:row>14</xdr:row>
      <xdr:rowOff>68580</xdr:rowOff>
    </xdr:from>
    <xdr:to>
      <xdr:col>13</xdr:col>
      <xdr:colOff>76200</xdr:colOff>
      <xdr:row>16</xdr:row>
      <xdr:rowOff>99060</xdr:rowOff>
    </xdr:to>
    <xdr:sp macro="[0]!NewInvoic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31B7501-A061-4CFD-9376-8429BFD21BCC}"/>
            </a:ext>
          </a:extLst>
        </xdr:cNvPr>
        <xdr:cNvSpPr/>
      </xdr:nvSpPr>
      <xdr:spPr>
        <a:xfrm>
          <a:off x="7749540" y="2750820"/>
          <a:ext cx="1348740" cy="396240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chemeClr val="tx1"/>
              </a:solidFill>
            </a:rPr>
            <a:t>New</a:t>
          </a:r>
          <a:r>
            <a:rPr lang="en-IN" sz="1100" b="1" baseline="0">
              <a:solidFill>
                <a:schemeClr val="tx1"/>
              </a:solidFill>
            </a:rPr>
            <a:t> Invoice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434340</xdr:colOff>
      <xdr:row>1</xdr:row>
      <xdr:rowOff>22860</xdr:rowOff>
    </xdr:from>
    <xdr:to>
      <xdr:col>13</xdr:col>
      <xdr:colOff>198120</xdr:colOff>
      <xdr:row>3</xdr:row>
      <xdr:rowOff>167640</xdr:rowOff>
    </xdr:to>
    <xdr:sp macro="[0]!NextCustom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1C8C61F-EF00-4882-BD3C-50FA2B1E0537}"/>
            </a:ext>
          </a:extLst>
        </xdr:cNvPr>
        <xdr:cNvSpPr/>
      </xdr:nvSpPr>
      <xdr:spPr>
        <a:xfrm>
          <a:off x="7627620" y="320040"/>
          <a:ext cx="1592580" cy="518160"/>
        </a:xfrm>
        <a:prstGeom prst="roundRect">
          <a:avLst>
            <a:gd name="adj" fmla="val 50000"/>
          </a:avLst>
        </a:prstGeom>
        <a:solidFill>
          <a:schemeClr val="accent3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Next</a:t>
          </a:r>
          <a:r>
            <a:rPr lang="en-IN" sz="1400" baseline="0"/>
            <a:t> Customer</a:t>
          </a:r>
          <a:endParaRPr lang="en-IN" sz="14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3FB71A-F68D-4F53-BA9A-B29EE455AAA3}" name="Customer_List" displayName="Customer_List" ref="A1:G7" totalsRowShown="0">
  <autoFilter ref="A1:G7" xr:uid="{913FB71A-F68D-4F53-BA9A-B29EE455AAA3}"/>
  <tableColumns count="7">
    <tableColumn id="1" xr3:uid="{7034FB3A-D876-4EDF-A3C3-FA0C3442E7F4}" name="Customer Name"/>
    <tableColumn id="2" xr3:uid="{29492728-A306-4EEE-9EC1-2643AF329B4C}" name="Customer ID" dataDxfId="0"/>
    <tableColumn id="3" xr3:uid="{7F382B91-C4AE-4095-992E-8D3A84A614C9}" name="Address 1"/>
    <tableColumn id="4" xr3:uid="{6F798314-391F-4A5F-8E02-1AD46E514556}" name="Address 2"/>
    <tableColumn id="5" xr3:uid="{A9C78CD2-B687-4711-BBFD-B26CEC99CAD4}" name="Address 3"/>
    <tableColumn id="6" xr3:uid="{01B7BD37-5BBE-42B7-BCA6-24B0C66D3E41}" name="Address 4"/>
    <tableColumn id="7" xr3:uid="{326AFA8D-3EC7-4B94-8D53-8C7035A5F721}" name="Email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akecafe@gmail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suhasbdvt@gmail.com" TargetMode="External"/><Relationship Id="rId1" Type="http://schemas.openxmlformats.org/officeDocument/2006/relationships/hyperlink" Target="mailto:rudressmg2002@gmail.com" TargetMode="External"/><Relationship Id="rId6" Type="http://schemas.openxmlformats.org/officeDocument/2006/relationships/hyperlink" Target="mailto:grbbakery@gmail.com" TargetMode="External"/><Relationship Id="rId5" Type="http://schemas.openxmlformats.org/officeDocument/2006/relationships/hyperlink" Target="mailto:bakersbowl@gmail.com" TargetMode="External"/><Relationship Id="rId4" Type="http://schemas.openxmlformats.org/officeDocument/2006/relationships/hyperlink" Target="mailto:cliffamb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98DD0-ABE2-478A-B06A-75E106A6DA8A}">
  <sheetPr codeName="Sheet1"/>
  <dimension ref="B1:I43"/>
  <sheetViews>
    <sheetView showGridLines="0" tabSelected="1" workbookViewId="0">
      <selection activeCell="P11" sqref="P11"/>
    </sheetView>
  </sheetViews>
  <sheetFormatPr defaultRowHeight="14.4" x14ac:dyDescent="0.3"/>
  <cols>
    <col min="1" max="1" width="3.109375" customWidth="1"/>
    <col min="2" max="2" width="15.88671875" customWidth="1"/>
    <col min="3" max="3" width="16.21875" customWidth="1"/>
    <col min="7" max="7" width="14.77734375" customWidth="1"/>
    <col min="8" max="8" width="10.33203125" customWidth="1"/>
    <col min="9" max="9" width="14.109375" customWidth="1"/>
  </cols>
  <sheetData>
    <row r="1" spans="2:9" ht="23.4" thickBot="1" x14ac:dyDescent="0.5">
      <c r="B1" s="41" t="s">
        <v>24</v>
      </c>
      <c r="C1" s="42"/>
      <c r="D1" s="43"/>
      <c r="E1" s="43"/>
      <c r="F1" s="43"/>
      <c r="G1" s="43"/>
      <c r="H1" s="50" t="s">
        <v>0</v>
      </c>
      <c r="I1" s="50"/>
    </row>
    <row r="2" spans="2:9" ht="15" thickTop="1" x14ac:dyDescent="0.3"/>
    <row r="3" spans="2:9" x14ac:dyDescent="0.3">
      <c r="B3" s="1" t="s">
        <v>1</v>
      </c>
      <c r="C3" s="51">
        <v>1001</v>
      </c>
      <c r="D3" s="52"/>
    </row>
    <row r="4" spans="2:9" x14ac:dyDescent="0.3">
      <c r="B4" s="2" t="s">
        <v>2</v>
      </c>
      <c r="C4" s="45" t="s">
        <v>53</v>
      </c>
      <c r="D4" s="46"/>
    </row>
    <row r="5" spans="2:9" x14ac:dyDescent="0.3">
      <c r="B5" s="2" t="s">
        <v>3</v>
      </c>
      <c r="C5" s="53">
        <f ca="1">TODAY()</f>
        <v>45862</v>
      </c>
      <c r="D5" s="54"/>
    </row>
    <row r="6" spans="2:9" x14ac:dyDescent="0.3">
      <c r="B6" s="3" t="s">
        <v>4</v>
      </c>
      <c r="C6" s="47">
        <v>45</v>
      </c>
      <c r="D6" s="44"/>
    </row>
    <row r="8" spans="2:9" x14ac:dyDescent="0.3">
      <c r="B8" s="9" t="s">
        <v>5</v>
      </c>
    </row>
    <row r="9" spans="2:9" x14ac:dyDescent="0.3">
      <c r="B9" s="36" t="s">
        <v>42</v>
      </c>
      <c r="C9" s="4"/>
      <c r="D9" s="5"/>
    </row>
    <row r="10" spans="2:9" x14ac:dyDescent="0.3">
      <c r="B10" s="37">
        <f>IFERROR(VLOOKUP($B$9, Customer_List[#All], 2, FALSE), "")</f>
        <v>105</v>
      </c>
      <c r="D10" s="6"/>
    </row>
    <row r="11" spans="2:9" x14ac:dyDescent="0.3">
      <c r="B11" s="37" t="str">
        <f>IFERROR(VLOOKUP($B$9, Customer_List[#All], 3, FALSE), "")</f>
        <v>Add1</v>
      </c>
      <c r="D11" s="6"/>
    </row>
    <row r="12" spans="2:9" x14ac:dyDescent="0.3">
      <c r="B12" s="37" t="str">
        <f>IFERROR(VLOOKUP($B$9, Customer_List[#All], 4, FALSE), "")</f>
        <v>Add2</v>
      </c>
      <c r="D12" s="6"/>
    </row>
    <row r="13" spans="2:9" x14ac:dyDescent="0.3">
      <c r="B13" s="37" t="str">
        <f>IFERROR(VLOOKUP($B$9, Customer_List[#All], 5, FALSE), "")</f>
        <v>Add3</v>
      </c>
      <c r="D13" s="6"/>
    </row>
    <row r="14" spans="2:9" x14ac:dyDescent="0.3">
      <c r="B14" s="38" t="str">
        <f>IFERROR(VLOOKUP($B$9, Customer_List[#All], 6, FALSE), "")</f>
        <v>Add4</v>
      </c>
      <c r="C14" s="7"/>
      <c r="D14" s="8"/>
    </row>
    <row r="16" spans="2:9" x14ac:dyDescent="0.3">
      <c r="B16" s="10" t="s">
        <v>6</v>
      </c>
      <c r="C16" s="11"/>
      <c r="D16" s="11"/>
      <c r="E16" s="26"/>
      <c r="F16" s="12" t="s">
        <v>7</v>
      </c>
      <c r="G16" s="12" t="s">
        <v>8</v>
      </c>
      <c r="H16" s="12" t="s">
        <v>9</v>
      </c>
      <c r="I16" s="12" t="s">
        <v>12</v>
      </c>
    </row>
    <row r="17" spans="2:9" x14ac:dyDescent="0.3">
      <c r="B17" s="13" t="s">
        <v>54</v>
      </c>
      <c r="C17" s="14"/>
      <c r="D17" s="14"/>
      <c r="E17" s="14"/>
      <c r="F17" s="14">
        <v>100</v>
      </c>
      <c r="G17" s="30">
        <v>20</v>
      </c>
      <c r="H17" s="30">
        <f>IF(F17&lt;&gt;"",G17*20%,"")</f>
        <v>4</v>
      </c>
      <c r="I17" s="31">
        <f>IF(F17&lt;&gt;"",F17*G17,"")</f>
        <v>2000</v>
      </c>
    </row>
    <row r="18" spans="2:9" x14ac:dyDescent="0.3">
      <c r="B18" s="13"/>
      <c r="C18" s="14"/>
      <c r="D18" s="14"/>
      <c r="E18" s="14"/>
      <c r="F18" s="14"/>
      <c r="G18" s="30"/>
      <c r="H18" s="30" t="str">
        <f t="shared" ref="H18:H31" si="0">IF(F18&lt;&gt;"",G18*20%,"")</f>
        <v/>
      </c>
      <c r="I18" s="31" t="str">
        <f t="shared" ref="I18:I31" si="1">IF(F18&lt;&gt;"",F18*G18,"")</f>
        <v/>
      </c>
    </row>
    <row r="19" spans="2:9" x14ac:dyDescent="0.3">
      <c r="B19" s="13"/>
      <c r="C19" s="14"/>
      <c r="D19" s="14"/>
      <c r="E19" s="14"/>
      <c r="F19" s="14"/>
      <c r="G19" s="30"/>
      <c r="H19" s="30" t="str">
        <f t="shared" si="0"/>
        <v/>
      </c>
      <c r="I19" s="31" t="str">
        <f t="shared" si="1"/>
        <v/>
      </c>
    </row>
    <row r="20" spans="2:9" x14ac:dyDescent="0.3">
      <c r="B20" s="13"/>
      <c r="C20" s="14"/>
      <c r="D20" s="14"/>
      <c r="E20" s="14"/>
      <c r="F20" s="14"/>
      <c r="G20" s="30"/>
      <c r="H20" s="30" t="str">
        <f t="shared" si="0"/>
        <v/>
      </c>
      <c r="I20" s="31" t="str">
        <f t="shared" si="1"/>
        <v/>
      </c>
    </row>
    <row r="21" spans="2:9" x14ac:dyDescent="0.3">
      <c r="B21" s="13"/>
      <c r="C21" s="14"/>
      <c r="D21" s="14"/>
      <c r="E21" s="14"/>
      <c r="F21" s="14"/>
      <c r="G21" s="30"/>
      <c r="H21" s="30" t="str">
        <f t="shared" si="0"/>
        <v/>
      </c>
      <c r="I21" s="31" t="str">
        <f t="shared" si="1"/>
        <v/>
      </c>
    </row>
    <row r="22" spans="2:9" x14ac:dyDescent="0.3">
      <c r="B22" s="13"/>
      <c r="C22" s="14"/>
      <c r="D22" s="14"/>
      <c r="E22" s="14"/>
      <c r="F22" s="14"/>
      <c r="G22" s="30"/>
      <c r="H22" s="30" t="str">
        <f t="shared" si="0"/>
        <v/>
      </c>
      <c r="I22" s="31" t="str">
        <f t="shared" si="1"/>
        <v/>
      </c>
    </row>
    <row r="23" spans="2:9" x14ac:dyDescent="0.3">
      <c r="B23" s="13"/>
      <c r="C23" s="14"/>
      <c r="D23" s="14"/>
      <c r="E23" s="14"/>
      <c r="F23" s="14"/>
      <c r="G23" s="30"/>
      <c r="H23" s="30" t="str">
        <f t="shared" si="0"/>
        <v/>
      </c>
      <c r="I23" s="31" t="str">
        <f t="shared" si="1"/>
        <v/>
      </c>
    </row>
    <row r="24" spans="2:9" x14ac:dyDescent="0.3">
      <c r="B24" s="13"/>
      <c r="C24" s="14"/>
      <c r="D24" s="14"/>
      <c r="E24" s="14"/>
      <c r="F24" s="14"/>
      <c r="G24" s="30"/>
      <c r="H24" s="30" t="str">
        <f t="shared" si="0"/>
        <v/>
      </c>
      <c r="I24" s="31" t="str">
        <f t="shared" si="1"/>
        <v/>
      </c>
    </row>
    <row r="25" spans="2:9" x14ac:dyDescent="0.3">
      <c r="B25" s="13"/>
      <c r="C25" s="14"/>
      <c r="D25" s="14"/>
      <c r="E25" s="14"/>
      <c r="F25" s="14"/>
      <c r="G25" s="30"/>
      <c r="H25" s="30" t="str">
        <f t="shared" si="0"/>
        <v/>
      </c>
      <c r="I25" s="31" t="str">
        <f t="shared" si="1"/>
        <v/>
      </c>
    </row>
    <row r="26" spans="2:9" x14ac:dyDescent="0.3">
      <c r="B26" s="13"/>
      <c r="C26" s="14"/>
      <c r="D26" s="14"/>
      <c r="E26" s="14"/>
      <c r="F26" s="14"/>
      <c r="G26" s="30"/>
      <c r="H26" s="30" t="str">
        <f t="shared" si="0"/>
        <v/>
      </c>
      <c r="I26" s="31" t="str">
        <f t="shared" si="1"/>
        <v/>
      </c>
    </row>
    <row r="27" spans="2:9" x14ac:dyDescent="0.3">
      <c r="B27" s="13"/>
      <c r="C27" s="14"/>
      <c r="D27" s="14"/>
      <c r="E27" s="14"/>
      <c r="F27" s="14"/>
      <c r="G27" s="30"/>
      <c r="H27" s="30" t="str">
        <f t="shared" si="0"/>
        <v/>
      </c>
      <c r="I27" s="31" t="str">
        <f t="shared" si="1"/>
        <v/>
      </c>
    </row>
    <row r="28" spans="2:9" x14ac:dyDescent="0.3">
      <c r="B28" s="13"/>
      <c r="C28" s="14"/>
      <c r="D28" s="14"/>
      <c r="E28" s="14"/>
      <c r="F28" s="14"/>
      <c r="G28" s="30"/>
      <c r="H28" s="30" t="str">
        <f t="shared" si="0"/>
        <v/>
      </c>
      <c r="I28" s="31" t="str">
        <f t="shared" si="1"/>
        <v/>
      </c>
    </row>
    <row r="29" spans="2:9" x14ac:dyDescent="0.3">
      <c r="B29" s="13"/>
      <c r="C29" s="14"/>
      <c r="D29" s="14"/>
      <c r="E29" s="14"/>
      <c r="F29" s="14"/>
      <c r="G29" s="30"/>
      <c r="H29" s="30" t="str">
        <f t="shared" si="0"/>
        <v/>
      </c>
      <c r="I29" s="31" t="str">
        <f t="shared" si="1"/>
        <v/>
      </c>
    </row>
    <row r="30" spans="2:9" x14ac:dyDescent="0.3">
      <c r="B30" s="13"/>
      <c r="C30" s="14"/>
      <c r="D30" s="14"/>
      <c r="E30" s="14"/>
      <c r="F30" s="14"/>
      <c r="G30" s="30"/>
      <c r="H30" s="30" t="str">
        <f t="shared" si="0"/>
        <v/>
      </c>
      <c r="I30" s="31" t="str">
        <f t="shared" si="1"/>
        <v/>
      </c>
    </row>
    <row r="31" spans="2:9" x14ac:dyDescent="0.3">
      <c r="B31" s="15"/>
      <c r="C31" s="16"/>
      <c r="D31" s="16"/>
      <c r="E31" s="16"/>
      <c r="F31" s="16"/>
      <c r="G31" s="32"/>
      <c r="H31" s="30" t="str">
        <f t="shared" si="0"/>
        <v/>
      </c>
      <c r="I31" s="31" t="str">
        <f t="shared" si="1"/>
        <v/>
      </c>
    </row>
    <row r="33" spans="2:9" ht="15" thickBot="1" x14ac:dyDescent="0.35">
      <c r="B33" s="17" t="s">
        <v>11</v>
      </c>
      <c r="G33" s="27"/>
      <c r="H33" s="27"/>
      <c r="I33" s="27"/>
    </row>
    <row r="34" spans="2:9" x14ac:dyDescent="0.3">
      <c r="B34" s="18"/>
      <c r="C34" s="19"/>
      <c r="D34" s="20"/>
      <c r="G34" t="s">
        <v>13</v>
      </c>
      <c r="I34" s="28">
        <f>SUM(I17:I31)</f>
        <v>2000</v>
      </c>
    </row>
    <row r="35" spans="2:9" x14ac:dyDescent="0.3">
      <c r="B35" s="21"/>
      <c r="D35" s="22"/>
      <c r="G35" t="s">
        <v>9</v>
      </c>
      <c r="I35" s="28">
        <f>SUM(H17:H31)</f>
        <v>4</v>
      </c>
    </row>
    <row r="36" spans="2:9" ht="15" thickBot="1" x14ac:dyDescent="0.35">
      <c r="B36" s="21"/>
      <c r="D36" s="22"/>
      <c r="G36" t="s">
        <v>10</v>
      </c>
      <c r="I36" s="29">
        <f>SUM(I34:I35)</f>
        <v>2004</v>
      </c>
    </row>
    <row r="37" spans="2:9" ht="15" thickTop="1" x14ac:dyDescent="0.3">
      <c r="B37" s="23"/>
      <c r="C37" s="24"/>
      <c r="D37" s="25"/>
    </row>
    <row r="39" spans="2:9" x14ac:dyDescent="0.3">
      <c r="B39" s="33" t="s">
        <v>14</v>
      </c>
      <c r="C39" s="10"/>
      <c r="D39" s="10"/>
      <c r="E39" s="10"/>
      <c r="F39" s="10"/>
      <c r="G39" s="10" t="s">
        <v>15</v>
      </c>
      <c r="H39" s="10"/>
    </row>
    <row r="40" spans="2:9" x14ac:dyDescent="0.3">
      <c r="B40" s="34" t="s">
        <v>16</v>
      </c>
      <c r="G40" s="17" t="s">
        <v>20</v>
      </c>
    </row>
    <row r="41" spans="2:9" x14ac:dyDescent="0.3">
      <c r="B41" s="17" t="s">
        <v>17</v>
      </c>
      <c r="G41" s="17" t="s">
        <v>21</v>
      </c>
    </row>
    <row r="42" spans="2:9" x14ac:dyDescent="0.3">
      <c r="B42" s="17" t="s">
        <v>18</v>
      </c>
      <c r="G42" s="34" t="s">
        <v>22</v>
      </c>
    </row>
    <row r="43" spans="2:9" x14ac:dyDescent="0.3">
      <c r="B43" s="17" t="s">
        <v>19</v>
      </c>
      <c r="G43" s="17" t="s">
        <v>23</v>
      </c>
    </row>
  </sheetData>
  <mergeCells count="3">
    <mergeCell ref="H1:I1"/>
    <mergeCell ref="C3:D3"/>
    <mergeCell ref="C5:D5"/>
  </mergeCells>
  <phoneticPr fontId="4" type="noConversion"/>
  <dataValidations count="2">
    <dataValidation type="list" allowBlank="1" showInputMessage="1" showErrorMessage="1" sqref="B9" xr:uid="{21C352C6-ECEE-40EE-A787-37E3A77CC2BE}">
      <formula1>Customer_Name</formula1>
    </dataValidation>
    <dataValidation type="list" allowBlank="1" showInputMessage="1" showErrorMessage="1" sqref="C6:D6" xr:uid="{00833AA4-557D-4346-828D-AB29A58A9D32}">
      <formula1>"15,30,45,60,"</formula1>
    </dataValidation>
  </dataValidations>
  <pageMargins left="0.25" right="0.25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433EC-3647-4A43-8B08-2A83F0ED8C2A}">
  <sheetPr codeName="Sheet2"/>
  <dimension ref="A1:G7"/>
  <sheetViews>
    <sheetView workbookViewId="0">
      <selection activeCell="B16" sqref="B16"/>
    </sheetView>
  </sheetViews>
  <sheetFormatPr defaultRowHeight="14.4" x14ac:dyDescent="0.3"/>
  <cols>
    <col min="1" max="1" width="16.44140625" customWidth="1"/>
    <col min="2" max="2" width="14.77734375" customWidth="1"/>
    <col min="3" max="3" width="12.109375" customWidth="1"/>
    <col min="4" max="6" width="11" customWidth="1"/>
    <col min="7" max="7" width="25.5546875" customWidth="1"/>
  </cols>
  <sheetData>
    <row r="1" spans="1:7" x14ac:dyDescent="0.3">
      <c r="A1" t="s">
        <v>25</v>
      </c>
      <c r="B1" t="s">
        <v>52</v>
      </c>
      <c r="C1" t="s">
        <v>26</v>
      </c>
      <c r="D1" t="s">
        <v>27</v>
      </c>
      <c r="E1" t="s">
        <v>28</v>
      </c>
      <c r="F1" t="s">
        <v>29</v>
      </c>
      <c r="G1" t="s">
        <v>19</v>
      </c>
    </row>
    <row r="2" spans="1:7" x14ac:dyDescent="0.3">
      <c r="A2" t="s">
        <v>42</v>
      </c>
      <c r="B2" s="49">
        <v>105</v>
      </c>
      <c r="C2" t="s">
        <v>32</v>
      </c>
      <c r="D2" t="s">
        <v>33</v>
      </c>
      <c r="E2" t="s">
        <v>34</v>
      </c>
      <c r="F2" t="s">
        <v>35</v>
      </c>
      <c r="G2" s="35" t="s">
        <v>30</v>
      </c>
    </row>
    <row r="3" spans="1:7" x14ac:dyDescent="0.3">
      <c r="A3" t="s">
        <v>43</v>
      </c>
      <c r="B3" s="49">
        <v>106</v>
      </c>
      <c r="C3" t="s">
        <v>32</v>
      </c>
      <c r="D3" t="s">
        <v>33</v>
      </c>
      <c r="E3" t="s">
        <v>34</v>
      </c>
      <c r="F3" t="s">
        <v>35</v>
      </c>
      <c r="G3" s="35" t="s">
        <v>31</v>
      </c>
    </row>
    <row r="4" spans="1:7" x14ac:dyDescent="0.3">
      <c r="A4" t="s">
        <v>46</v>
      </c>
      <c r="B4" s="49">
        <v>107</v>
      </c>
      <c r="C4" t="s">
        <v>32</v>
      </c>
      <c r="D4" t="s">
        <v>33</v>
      </c>
      <c r="E4" t="s">
        <v>34</v>
      </c>
      <c r="F4" t="s">
        <v>35</v>
      </c>
      <c r="G4" s="35" t="s">
        <v>48</v>
      </c>
    </row>
    <row r="5" spans="1:7" x14ac:dyDescent="0.3">
      <c r="A5" t="s">
        <v>44</v>
      </c>
      <c r="B5" s="49">
        <v>108</v>
      </c>
      <c r="C5" t="s">
        <v>32</v>
      </c>
      <c r="D5" t="s">
        <v>33</v>
      </c>
      <c r="E5" t="s">
        <v>34</v>
      </c>
      <c r="F5" t="s">
        <v>35</v>
      </c>
      <c r="G5" s="35" t="s">
        <v>49</v>
      </c>
    </row>
    <row r="6" spans="1:7" x14ac:dyDescent="0.3">
      <c r="A6" t="s">
        <v>45</v>
      </c>
      <c r="B6" s="49">
        <v>109</v>
      </c>
      <c r="C6" t="s">
        <v>32</v>
      </c>
      <c r="D6" t="s">
        <v>33</v>
      </c>
      <c r="E6" t="s">
        <v>34</v>
      </c>
      <c r="F6" t="s">
        <v>35</v>
      </c>
      <c r="G6" s="35" t="s">
        <v>50</v>
      </c>
    </row>
    <row r="7" spans="1:7" x14ac:dyDescent="0.3">
      <c r="A7" t="s">
        <v>47</v>
      </c>
      <c r="B7" s="49">
        <v>110</v>
      </c>
      <c r="C7" t="s">
        <v>32</v>
      </c>
      <c r="D7" t="s">
        <v>33</v>
      </c>
      <c r="E7" t="s">
        <v>34</v>
      </c>
      <c r="F7" t="s">
        <v>35</v>
      </c>
      <c r="G7" s="35" t="s">
        <v>51</v>
      </c>
    </row>
  </sheetData>
  <phoneticPr fontId="4" type="noConversion"/>
  <hyperlinks>
    <hyperlink ref="G2" r:id="rId1" xr:uid="{13E8A256-BF11-48E7-9058-D67DEB45B3AF}"/>
    <hyperlink ref="G3" r:id="rId2" xr:uid="{C3EF61C6-502C-433E-9721-C86AB61070BE}"/>
    <hyperlink ref="G4" r:id="rId3" xr:uid="{B6F03D3D-18BF-4DA7-9B81-CAC4960FF261}"/>
    <hyperlink ref="G5" r:id="rId4" xr:uid="{DBBB5C24-ABE7-4389-85CC-894FA79A3C20}"/>
    <hyperlink ref="G6" r:id="rId5" xr:uid="{D020FD3B-E9AA-451D-A02B-CF865B6F4E18}"/>
    <hyperlink ref="G7" r:id="rId6" xr:uid="{53800BC2-A902-4155-A963-BD14B7451B18}"/>
  </hyperlinks>
  <pageMargins left="0.7" right="0.7" top="0.75" bottom="0.75" header="0.3" footer="0.3"/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9FBBE-B3E7-4DA4-AC65-10D07BCCC730}">
  <sheetPr codeName="Sheet3"/>
  <dimension ref="A1:F5"/>
  <sheetViews>
    <sheetView workbookViewId="0">
      <selection activeCell="A2" sqref="A2:E3"/>
    </sheetView>
  </sheetViews>
  <sheetFormatPr defaultRowHeight="14.4" x14ac:dyDescent="0.3"/>
  <cols>
    <col min="1" max="1" width="16.6640625" customWidth="1"/>
    <col min="2" max="2" width="16" customWidth="1"/>
    <col min="3" max="3" width="16.109375" customWidth="1"/>
    <col min="4" max="4" width="15.77734375" customWidth="1"/>
    <col min="5" max="5" width="12.21875" customWidth="1"/>
    <col min="6" max="6" width="18.33203125" customWidth="1"/>
  </cols>
  <sheetData>
    <row r="1" spans="1:6" x14ac:dyDescent="0.3">
      <c r="A1" s="48" t="s">
        <v>36</v>
      </c>
      <c r="B1" s="48" t="s">
        <v>37</v>
      </c>
      <c r="C1" s="48" t="s">
        <v>38</v>
      </c>
      <c r="D1" s="48" t="s">
        <v>39</v>
      </c>
      <c r="E1" s="48" t="s">
        <v>40</v>
      </c>
      <c r="F1" s="48" t="s">
        <v>41</v>
      </c>
    </row>
    <row r="2" spans="1:6" x14ac:dyDescent="0.3">
      <c r="A2">
        <v>1001</v>
      </c>
      <c r="B2" t="s">
        <v>42</v>
      </c>
      <c r="C2" s="39">
        <v>2004</v>
      </c>
      <c r="D2" s="40">
        <v>45854</v>
      </c>
      <c r="E2" s="40">
        <v>45899</v>
      </c>
    </row>
    <row r="3" spans="1:6" x14ac:dyDescent="0.3">
      <c r="C3" s="39"/>
      <c r="D3" s="40"/>
      <c r="E3" s="40"/>
    </row>
    <row r="4" spans="1:6" x14ac:dyDescent="0.3">
      <c r="C4" s="39"/>
      <c r="D4" s="40"/>
      <c r="E4" s="40"/>
    </row>
    <row r="5" spans="1:6" x14ac:dyDescent="0.3">
      <c r="C5" s="39"/>
      <c r="D5" s="40"/>
      <c r="E5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Customer_Name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Rudresh S N</dc:creator>
  <cp:lastModifiedBy>Rudresh S N</cp:lastModifiedBy>
  <cp:lastPrinted>2025-07-16T02:26:36Z</cp:lastPrinted>
  <dcterms:created xsi:type="dcterms:W3CDTF">2025-07-12T06:14:31Z</dcterms:created>
  <dcterms:modified xsi:type="dcterms:W3CDTF">2025-07-24T10:07:19Z</dcterms:modified>
</cp:coreProperties>
</file>